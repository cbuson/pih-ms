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2c00f300564a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f9e3e545a85f4d50"/>
    <x:sheet xmlns:r="http://schemas.openxmlformats.org/officeDocument/2006/relationships" name="Layer_Registry" sheetId="2" r:id="Reb3ca9223e6f47f7"/>
    <x:sheet xmlns:r="http://schemas.openxmlformats.org/officeDocument/2006/relationships" name="Layer_Statistics" sheetId="3" r:id="Rae27c0022a4d488a"/>
    <x:sheet xmlns:r="http://schemas.openxmlformats.org/officeDocument/2006/relationships" name="By_Hydro_Unit" sheetId="4" r:id="R2d960f32cc8d4298"/>
    <x:sheet xmlns:r="http://schemas.openxmlformats.org/officeDocument/2006/relationships" name="By_Domain" sheetId="5" r:id="R8b4aaa48052f4d43"/>
    <x:sheet xmlns:r="http://schemas.openxmlformats.org/officeDocument/2006/relationships" name="Scale_Summary" sheetId="6" r:id="Rfb61ab17f08047f5"/>
    <x:sheet xmlns:r="http://schemas.openxmlformats.org/officeDocument/2006/relationships" name="Audit" sheetId="7" r:id="Raee1a58fa86940ba"/>
    <x:sheet xmlns:r="http://schemas.openxmlformats.org/officeDocument/2006/relationships" name="Dashboard" sheetId="8" r:id="Rea0c7b2f822243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0B456E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456E"/>
      </x:patternFill>
    </x:fill>
    <x:fill>
      <x:patternFill patternType="solid">
        <x:fgColor rgb="FFDCECF6"/>
      </x:patternFill>
    </x:fill>
    <x:fill>
      <x:patternFill patternType="solid">
        <x:fgColor rgb="FFF4F9FC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7dbf43d353440b" /><Relationship Type="http://schemas.openxmlformats.org/officeDocument/2006/relationships/theme" Target="/xl/theme/theme1.xml" Id="R2b2ef502f9874618" /><Relationship Type="http://schemas.openxmlformats.org/officeDocument/2006/relationships/sharedStrings" Target="/xl/sharedStrings.xml" Id="Re02b408f9b934c08" /><Relationship Type="http://schemas.openxmlformats.org/officeDocument/2006/relationships/worksheet" Target="/xl/worksheets/sheet1.xml" Id="Rf9e3e545a85f4d50" /><Relationship Type="http://schemas.openxmlformats.org/officeDocument/2006/relationships/worksheet" Target="/xl/worksheets/sheet2.xml" Id="Reb3ca9223e6f47f7" /><Relationship Type="http://schemas.openxmlformats.org/officeDocument/2006/relationships/worksheet" Target="/xl/worksheets/sheet3.xml" Id="Rae27c0022a4d488a" /><Relationship Type="http://schemas.openxmlformats.org/officeDocument/2006/relationships/worksheet" Target="/xl/worksheets/sheet4.xml" Id="R2d960f32cc8d4298" /><Relationship Type="http://schemas.openxmlformats.org/officeDocument/2006/relationships/worksheet" Target="/xl/worksheets/sheet5.xml" Id="R8b4aaa48052f4d43" /><Relationship Type="http://schemas.openxmlformats.org/officeDocument/2006/relationships/worksheet" Target="/xl/worksheets/sheet6.xml" Id="Rfb61ab17f08047f5" /><Relationship Type="http://schemas.openxmlformats.org/officeDocument/2006/relationships/worksheet" Target="/xl/worksheets/sheet7.xml" Id="Raee1a58fa86940ba" /><Relationship Type="http://schemas.openxmlformats.org/officeDocument/2006/relationships/worksheet" Target="/xl/worksheets/sheet8.xml" Id="Rea0c7b2f8222436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91d01e97bca4d5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Documentação disponível por camada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Feições</c:v>
          </c:tx>
          <c:cat>
            <c:strRef>
              <c:f>'Dashboard'!$A$2:$A$14</c:f>
              <c:strCache>
                <c:ptCount val="0"/>
              </c:strCache>
            </c:strRef>
          </c:cat>
          <c:val>
            <c:numRef>
              <c:f>'Dashboard'!$B$2:$B$14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</xdr:row>
      <xdr:rowOff>0</xdr:rowOff>
    </xdr:from>
    <xdr:to>
      <xdr:col>12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91d01e97bca4d5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1.xml" Id="R4226e298899449a6" /></Relationships>
</file>

<file path=xl/worksheets/sheet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76" hidden="0" customWidth="1"/>
  </x:cols>
  <x:sheetData>
    <x:row r="1">
      <x:c r="A1" s="4" t="str">
        <x:v>PIH MS</x:v>
      </x:c>
      <x:c r="B1" s="4" t="str">
        <x:v>Documentação vertical e temporal V1</x:v>
      </x:c>
    </x:row>
    <x:row r="2">
      <x:c r="A2" s="10" t="str">
        <x:v>Data de corte</x:v>
      </x:c>
      <x:c r="B2" s="15" t="str">
        <x:v>2026-08-29</x:v>
      </x:c>
    </x:row>
    <x:row r="3">
      <x:c r="A3" s="10" t="str">
        <x:v>Estado</x:v>
      </x:c>
      <x:c r="B3" s="15" t="str">
        <x:v>Camadas descritivas. PIH NÃO CALCULADO</x:v>
      </x:c>
    </x:row>
    <x:row r="4">
      <x:c r="A4" s="10" t="str">
        <x:v>Poços canônicos provisórios</x:v>
      </x:c>
      <x:c r="B4" s="15" t="n">
        <x:v>3877</x:v>
      </x:c>
    </x:row>
    <x:row r="5">
      <x:c r="A5" s="10" t="str">
        <x:v>V02 formação documentada</x:v>
      </x:c>
      <x:c r="B5" s="15" t="n">
        <x:v>1425</x:v>
      </x:c>
    </x:row>
    <x:row r="6">
      <x:c r="A6" s="10" t="str">
        <x:v>V03 tipo de penetração</x:v>
      </x:c>
      <x:c r="B6" s="15" t="n">
        <x:v>416</x:v>
      </x:c>
    </x:row>
    <x:row r="7">
      <x:c r="A7" s="10" t="str">
        <x:v>V04 condição hidráulica</x:v>
      </x:c>
      <x:c r="B7" s="15" t="n">
        <x:v>380</x:v>
      </x:c>
    </x:row>
    <x:row r="8">
      <x:c r="A8" s="10" t="str">
        <x:v>V05 tipo de captação</x:v>
      </x:c>
      <x:c r="B8" s="15" t="n">
        <x:v>333</x:v>
      </x:c>
    </x:row>
    <x:row r="9">
      <x:c r="A9" s="10" t="str">
        <x:v>V06 topo e base brutos coerentes</x:v>
      </x:c>
      <x:c r="B9" s="15" t="n">
        <x:v>316</x:v>
      </x:c>
    </x:row>
    <x:row r="10">
      <x:c r="A10" s="10" t="str">
        <x:v>V08 intervalo de filtro demonstrado</x:v>
      </x:c>
      <x:c r="B10" s="15" t="n">
        <x:v>0</x:v>
      </x:c>
    </x:row>
    <x:row r="11">
      <x:c r="A11" s="10" t="str">
        <x:v>T01 ensaio de bombeamento datado</x:v>
      </x:c>
      <x:c r="B11" s="15" t="n">
        <x:v>1581</x:v>
      </x:c>
    </x:row>
    <x:row r="12">
      <x:c r="A12" s="10" t="str">
        <x:v>T02 química datada</x:v>
      </x:c>
      <x:c r="B12" s="15" t="n">
        <x:v>530</x:v>
      </x:c>
    </x:row>
    <x:row r="13">
      <x:c r="A13" s="10" t="str">
        <x:v>T03 nível com data explícita</x:v>
      </x:c>
      <x:c r="B13" s="15" t="n">
        <x:v>20</x:v>
      </x:c>
    </x:row>
    <x:row r="14">
      <x:c r="A14" s="10" t="str">
        <x:v>T04 qualquer evidência hidrogeológica datada</x:v>
      </x:c>
      <x:c r="B14" s="15" t="n">
        <x:v>1637</x:v>
      </x:c>
    </x:row>
    <x:row r="15">
      <x:c r="A15" s="10" t="str">
        <x:v>T05 múltiplos domínios datados</x:v>
      </x:c>
      <x:c r="B15" s="15" t="n">
        <x:v>475</x:v>
      </x:c>
    </x:row>
    <x:row r="16">
      <x:c r="A16" s="10" t="str">
        <x:v>T06 registros RIMAS</x:v>
      </x:c>
      <x:c r="B16" s="15" t="n">
        <x:v>22</x:v>
      </x:c>
    </x:row>
    <x:row r="17">
      <x:c r="A17" s="10" t="str">
        <x:v>T07 série temporal completa adquirida</x:v>
      </x:c>
      <x:c r="B17" s="15" t="n">
        <x:v>0</x:v>
      </x:c>
    </x:row>
    <x:row r="18">
      <x:c r="A18" s="10" t="str">
        <x:v>Regra</x:v>
      </x:c>
      <x:c r="B18" s="15" t="str">
        <x:v>Profundidade total não equivale a intervalo captado</x:v>
      </x:c>
    </x:row>
    <x:row r="19">
      <x:c r="A19" s="10" t="str">
        <x:v>Regra</x:v>
      </x:c>
      <x:c r="B19" s="15" t="str">
        <x:v>Uma medição datada não equivale a série temporal</x:v>
      </x:c>
    </x:row>
    <x:row r="20">
      <x:c r="A20" s="10" t="str">
        <x:v>Regra</x:v>
      </x:c>
      <x:c r="B20" s="15" t="str">
        <x:v>UNKNOWN permanece UNKNOWN</x:v>
      </x:c>
    </x:row>
    <x:row r="21">
      <x:c r="A21" s="10" t="str">
        <x:v>Referência</x:v>
      </x:c>
      <x:c r="B21" s="15" t="str">
        <x:v>Os CSV do pacote V1.9 são a referência reproduzível. Este Excel é para revisão humana.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</x:cols>
  <x:sheetData>
    <x:row r="1">
      <x:c r="A1" s="20" t="str">
        <x:v>code</x:v>
      </x:c>
      <x:c r="B1" s="20" t="str">
        <x:v>name</x:v>
      </x:c>
      <x:c r="C1" s="20" t="str">
        <x:v>source</x:v>
      </x:c>
      <x:c r="D1" s="20" t="str">
        <x:v>question</x:v>
      </x:c>
      <x:c r="E1" s="20" t="str">
        <x:v>rule</x:v>
      </x:c>
      <x:c r="F1" s="20" t="str">
        <x:v>status</x:v>
      </x:c>
    </x:row>
    <x:row r="2">
      <x:c r="A2" s="25" t="str">
        <x:v>V01</x:v>
      </x:c>
      <x:c r="B2" s="25" t="str">
        <x:v>Profundidade positiva</x:v>
      </x:c>
      <x:c r="C2" s="25" t="str">
        <x:v>E02</x:v>
      </x:c>
      <x:c r="D2" s="25" t="str">
        <x:v>Existe profundidade total positiva no cadastro auditado</x:v>
      </x:c>
      <x:c r="E2" s="25" t="str">
        <x:v>Reutiliza E02. Não demonstra intervalo captado</x:v>
      </x:c>
      <x:c r="F2" s="25" t="str">
        <x:v>IMPLEMENTADA_POR_E02</x:v>
      </x:c>
    </x:row>
    <x:row r="3">
      <x:c r="A3" s="25" t="str">
        <x:v>V02</x:v>
      </x:c>
      <x:c r="B3" s="25" t="str">
        <x:v>Formação do poço documentada</x:v>
      </x:c>
      <x:c r="C3" s="25" t="str">
        <x:v>SGB 2024 poços</x:v>
      </x:c>
      <x:c r="D3" s="25" t="str">
        <x:v>Existe formação geológica registrada para o poço</x:v>
      </x:c>
      <x:c r="E3" s="25" t="str">
        <x:v>Campo tipo_forma ou formation_sgb2024 não vazio</x:v>
      </x:c>
      <x:c r="F3" s="25" t="str">
        <x:v>IMPLEMENTADA</x:v>
      </x:c>
    </x:row>
    <x:row r="4">
      <x:c r="A4" s="25" t="str">
        <x:v>V03</x:v>
      </x:c>
      <x:c r="B4" s="25" t="str">
        <x:v>Tipo de penetração documentado</x:v>
      </x:c>
      <x:c r="C4" s="25" t="str">
        <x:v>SGB 2024 poços</x:v>
      </x:c>
      <x:c r="D4" s="25" t="str">
        <x:v>Existe indicação parcial ou total de penetração</x:v>
      </x:c>
      <x:c r="E4" s="25" t="str">
        <x:v>Campo tipo_penet não vazio</x:v>
      </x:c>
      <x:c r="F4" s="25" t="str">
        <x:v>IMPLEMENTADA</x:v>
      </x:c>
    </x:row>
    <x:row r="5">
      <x:c r="A5" s="25" t="str">
        <x:v>V04</x:v>
      </x:c>
      <x:c r="B5" s="25" t="str">
        <x:v>Condição hidráulica documentada</x:v>
      </x:c>
      <x:c r="C5" s="25" t="str">
        <x:v>SGB 2024 poços</x:v>
      </x:c>
      <x:c r="D5" s="25" t="str">
        <x:v>Existe condição livre, confinada ou intermediária registrada</x:v>
      </x:c>
      <x:c r="E5" s="25" t="str">
        <x:v>Campo condicao não vazio</x:v>
      </x:c>
      <x:c r="F5" s="25" t="str">
        <x:v>IMPLEMENTADA</x:v>
      </x:c>
    </x:row>
    <x:row r="6">
      <x:c r="A6" s="25" t="str">
        <x:v>V05</x:v>
      </x:c>
      <x:c r="B6" s="25" t="str">
        <x:v>Tipo de captação documentado</x:v>
      </x:c>
      <x:c r="C6" s="25" t="str">
        <x:v>SGB 2024 poços</x:v>
      </x:c>
      <x:c r="D6" s="25" t="str">
        <x:v>Existe indicação de captação única ou simultânea</x:v>
      </x:c>
      <x:c r="E6" s="25" t="str">
        <x:v>Campo tipo_capta não vazio</x:v>
      </x:c>
      <x:c r="F6" s="25" t="str">
        <x:v>IMPLEMENTADA</x:v>
      </x:c>
    </x:row>
    <x:row r="7">
      <x:c r="A7" s="25" t="str">
        <x:v>V06</x:v>
      </x:c>
      <x:c r="B7" s="25" t="str">
        <x:v>Topo e base brutos coerentes</x:v>
      </x:c>
      <x:c r="C7" s="25" t="str">
        <x:v>SGB 2024 poços</x:v>
      </x:c>
      <x:c r="D7" s="25" t="str">
        <x:v>Existem valores positivos de topo e base com base maior que topo</x:v>
      </x:c>
      <x:c r="E7" s="25" t="str">
        <x:v>topo &gt; 0 e base &gt; topo. Sem inferir que sejam filtros</x:v>
      </x:c>
      <x:c r="F7" s="25" t="str">
        <x:v>IMPLEMENTADA</x:v>
      </x:c>
    </x:row>
    <x:row r="8">
      <x:c r="A8" s="25" t="str">
        <x:v>V07</x:v>
      </x:c>
      <x:c r="B8" s="25" t="str">
        <x:v>Diâmetro documentado</x:v>
      </x:c>
      <x:c r="C8" s="25" t="str">
        <x:v>SGB 2024 poços</x:v>
      </x:c>
      <x:c r="D8" s="25" t="str">
        <x:v>Existe diâmetro bruto informado</x:v>
      </x:c>
      <x:c r="E8" s="25" t="str">
        <x:v>Campo diametro_b não vazio</x:v>
      </x:c>
      <x:c r="F8" s="25" t="str">
        <x:v>IMPLEMENTADA</x:v>
      </x:c>
    </x:row>
    <x:row r="9">
      <x:c r="A9" s="25" t="str">
        <x:v>V08</x:v>
      </x:c>
      <x:c r="B9" s="25" t="str">
        <x:v>Intervalo de filtro ou tela demonstrado</x:v>
      </x:c>
      <x:c r="C9" s="25" t="str">
        <x:v>SIAGAS e SGB adquiridos</x:v>
      </x:c>
      <x:c r="D9" s="25" t="str">
        <x:v>É possível demonstrar o intervalo efetivamente filtrado ou aberto</x:v>
      </x:c>
      <x:c r="E9" s="25" t="str">
        <x:v>Nenhuma tabela de filtros ou telas foi adquirida nesta fase</x:v>
      </x:c>
      <x:c r="F9" s="25" t="str">
        <x:v>UNKNOWN_NAO_DEMONSTRADO</x:v>
      </x:c>
    </x:row>
    <x:row r="10">
      <x:c r="A10" s="25" t="str">
        <x:v>T01</x:v>
      </x:c>
      <x:c r="B10" s="25" t="str">
        <x:v>Ensaio de bombeamento datado</x:v>
      </x:c>
      <x:c r="C10" s="25" t="str">
        <x:v>SGB 2024 poços</x:v>
      </x:c>
      <x:c r="D10" s="25" t="str">
        <x:v>Existe data do ensaio hidráulico</x:v>
      </x:c>
      <x:c r="E10" s="25" t="str">
        <x:v>data_teste interpretável</x:v>
      </x:c>
      <x:c r="F10" s="25" t="str">
        <x:v>IMPLEMENTADA</x:v>
      </x:c>
    </x:row>
    <x:row r="11">
      <x:c r="A11" s="25" t="str">
        <x:v>T02</x:v>
      </x:c>
      <x:c r="B11" s="25" t="str">
        <x:v>Evidência química datada</x:v>
      </x:c>
      <x:c r="C11" s="25" t="str">
        <x:v>SGB 2024 poços</x:v>
      </x:c>
      <x:c r="D11" s="25" t="str">
        <x:v>Existe data de coleta ou análise química</x:v>
      </x:c>
      <x:c r="E11" s="25" t="str">
        <x:v>Prioriza data_colet e usa data_anali quando coleta não está disponível</x:v>
      </x:c>
      <x:c r="F11" s="25" t="str">
        <x:v>IMPLEMENTADA</x:v>
      </x:c>
    </x:row>
    <x:row r="12">
      <x:c r="A12" s="25" t="str">
        <x:v>T03</x:v>
      </x:c>
      <x:c r="B12" s="25" t="str">
        <x:v>Medição de nível datada</x:v>
      </x:c>
      <x:c r="C12" s="25" t="str">
        <x:v>SGB 2024 poços</x:v>
      </x:c>
      <x:c r="D12" s="25" t="str">
        <x:v>Existe data_medic associada a nivel_agua</x:v>
      </x:c>
      <x:c r="E12" s="25" t="str">
        <x:v>data_medic interpretável. Uma medição não forma série</x:v>
      </x:c>
      <x:c r="F12" s="25" t="str">
        <x:v>IMPLEMENTADA</x:v>
      </x:c>
    </x:row>
    <x:row r="13">
      <x:c r="A13" s="25" t="str">
        <x:v>T04</x:v>
      </x:c>
      <x:c r="B13" s="25" t="str">
        <x:v>Evidência hidrogeológica datada</x:v>
      </x:c>
      <x:c r="C13" s="25" t="str">
        <x:v>T01 T02 T03</x:v>
      </x:c>
      <x:c r="D13" s="25" t="str">
        <x:v>Existe ao menos um evento hidrogeológico datado</x:v>
      </x:c>
      <x:c r="E13" s="25" t="str">
        <x:v>União de teste, química e medição de nível datados</x:v>
      </x:c>
      <x:c r="F13" s="25" t="str">
        <x:v>IMPLEMENTADA</x:v>
      </x:c>
    </x:row>
    <x:row r="14">
      <x:c r="A14" s="25" t="str">
        <x:v>T05</x:v>
      </x:c>
      <x:c r="B14" s="25" t="str">
        <x:v>Múltiplos domínios datados</x:v>
      </x:c>
      <x:c r="C14" s="25" t="str">
        <x:v>T01 T02 T03</x:v>
      </x:c>
      <x:c r="D14" s="25" t="str">
        <x:v>O poço possui evidência datada em pelo menos dois domínios distintos</x:v>
      </x:c>
      <x:c r="E14" s="25" t="str">
        <x:v>Dois ou mais entre teste, química e nível</x:v>
      </x:c>
      <x:c r="F14" s="25" t="str">
        <x:v>IMPLEMENTADA</x:v>
      </x:c>
    </x:row>
    <x:row r="15">
      <x:c r="A15" s="25" t="str">
        <x:v>T06</x:v>
      </x:c>
      <x:c r="B15" s="25" t="str">
        <x:v>Cadastro identificado como RIMAS</x:v>
      </x:c>
      <x:c r="C15" s="25" t="str">
        <x:v>SIAGAS 2026 snapshot</x:v>
      </x:c>
      <x:c r="D15" s="25" t="str">
        <x:v>O campo status_rimas identifica o registro como Rimas</x:v>
      </x:c>
      <x:c r="E15" s="25" t="str">
        <x:v>status_rimas = Rimas. Não prova disponibilidade local da série</x:v>
      </x:c>
      <x:c r="F15" s="25" t="str">
        <x:v>IMPLEMENTADA</x:v>
      </x:c>
    </x:row>
    <x:row r="16">
      <x:c r="A16" s="25" t="str">
        <x:v>T07</x:v>
      </x:c>
      <x:c r="B16" s="25" t="str">
        <x:v>Série temporal demonstrada</x:v>
      </x:c>
      <x:c r="C16" s="25" t="str">
        <x:v>Dados adquiridos até o corte</x:v>
      </x:c>
      <x:c r="D16" s="25" t="str">
        <x:v>Existe sequência temporal da mesma variável suficiente para caracterizar uma série</x:v>
      </x:c>
      <x:c r="E16" s="25" t="str">
        <x:v>Nenhuma série completa foi adquirida nesta fase</x:v>
      </x:c>
      <x:c r="F16" s="25" t="str">
        <x:v>UNKNOWN_NAO_DEMONSTRADO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16" hidden="0" customWidth="1"/>
    <x:col min="4" max="4" width="16" hidden="0" customWidth="1"/>
    <x:col min="5" max="5" width="16" hidden="0" customWidth="1"/>
  </x:cols>
  <x:sheetData>
    <x:row r="1">
      <x:c r="A1" s="20" t="str">
        <x:v>code</x:v>
      </x:c>
      <x:c r="B1" s="20" t="str">
        <x:v>name</x:v>
      </x:c>
      <x:c r="C1" s="20" t="str">
        <x:v>feature_count</x:v>
      </x:c>
      <x:c r="D1" s="20" t="str">
        <x:v>pct_of_3877</x:v>
      </x:c>
      <x:c r="E1" s="20" t="str">
        <x:v>color</x:v>
      </x:c>
    </x:row>
    <x:row r="2">
      <x:c r="A2" s="25" t="str">
        <x:v>V02</x:v>
      </x:c>
      <x:c r="B2" s="25" t="str">
        <x:v>Formação do poço documentada</x:v>
      </x:c>
      <x:c r="C2" s="25" t="str">
        <x:v>1425</x:v>
      </x:c>
      <x:c r="D2" s="25" t="str">
        <x:v>36.7552</x:v>
      </x:c>
      <x:c r="E2" s="25" t="str">
        <x:v>#00897B</x:v>
      </x:c>
    </x:row>
    <x:row r="3">
      <x:c r="A3" s="25" t="str">
        <x:v>V03</x:v>
      </x:c>
      <x:c r="B3" s="25" t="str">
        <x:v>Tipo de penetração documentado</x:v>
      </x:c>
      <x:c r="C3" s="25" t="str">
        <x:v>416</x:v>
      </x:c>
      <x:c r="D3" s="25" t="str">
        <x:v>10.7299</x:v>
      </x:c>
      <x:c r="E3" s="25" t="str">
        <x:v>#00A6A6</x:v>
      </x:c>
    </x:row>
    <x:row r="4">
      <x:c r="A4" s="25" t="str">
        <x:v>V04</x:v>
      </x:c>
      <x:c r="B4" s="25" t="str">
        <x:v>Condição hidráulica documentada</x:v>
      </x:c>
      <x:c r="C4" s="25" t="str">
        <x:v>380</x:v>
      </x:c>
      <x:c r="D4" s="25" t="str">
        <x:v>9.8014</x:v>
      </x:c>
      <x:c r="E4" s="25" t="str">
        <x:v>#00796B</x:v>
      </x:c>
    </x:row>
    <x:row r="5">
      <x:c r="A5" s="25" t="str">
        <x:v>V05</x:v>
      </x:c>
      <x:c r="B5" s="25" t="str">
        <x:v>Tipo de captação documentado</x:v>
      </x:c>
      <x:c r="C5" s="25" t="str">
        <x:v>333</x:v>
      </x:c>
      <x:c r="D5" s="25" t="str">
        <x:v>8.5891</x:v>
      </x:c>
      <x:c r="E5" s="25" t="str">
        <x:v>#26A69A</x:v>
      </x:c>
    </x:row>
    <x:row r="6">
      <x:c r="A6" s="25" t="str">
        <x:v>V06</x:v>
      </x:c>
      <x:c r="B6" s="25" t="str">
        <x:v>Topo e base brutos coerentes</x:v>
      </x:c>
      <x:c r="C6" s="25" t="str">
        <x:v>316</x:v>
      </x:c>
      <x:c r="D6" s="25" t="str">
        <x:v>8.1506</x:v>
      </x:c>
      <x:c r="E6" s="25" t="str">
        <x:v>#00695C</x:v>
      </x:c>
    </x:row>
    <x:row r="7">
      <x:c r="A7" s="25" t="str">
        <x:v>V07</x:v>
      </x:c>
      <x:c r="B7" s="25" t="str">
        <x:v>Diâmetro documentado</x:v>
      </x:c>
      <x:c r="C7" s="25" t="str">
        <x:v>412</x:v>
      </x:c>
      <x:c r="D7" s="25" t="str">
        <x:v>10.6268</x:v>
      </x:c>
      <x:c r="E7" s="25" t="str">
        <x:v>#4DB6AC</x:v>
      </x:c>
    </x:row>
    <x:row r="8">
      <x:c r="A8" s="25" t="str">
        <x:v>T01</x:v>
      </x:c>
      <x:c r="B8" s="25" t="str">
        <x:v>Ensaio de bombeamento datado</x:v>
      </x:c>
      <x:c r="C8" s="25" t="str">
        <x:v>1581</x:v>
      </x:c>
      <x:c r="D8" s="25" t="str">
        <x:v>40.779</x:v>
      </x:c>
      <x:c r="E8" s="25" t="str">
        <x:v>#6A51A3</x:v>
      </x:c>
    </x:row>
    <x:row r="9">
      <x:c r="A9" s="25" t="str">
        <x:v>T02</x:v>
      </x:c>
      <x:c r="B9" s="25" t="str">
        <x:v>Evidência química datada</x:v>
      </x:c>
      <x:c r="C9" s="25" t="str">
        <x:v>530</x:v>
      </x:c>
      <x:c r="D9" s="25" t="str">
        <x:v>13.6704</x:v>
      </x:c>
      <x:c r="E9" s="25" t="str">
        <x:v>#8C6BB1</x:v>
      </x:c>
    </x:row>
    <x:row r="10">
      <x:c r="A10" s="25" t="str">
        <x:v>T03</x:v>
      </x:c>
      <x:c r="B10" s="25" t="str">
        <x:v>Medição de nível datada</x:v>
      </x:c>
      <x:c r="C10" s="25" t="str">
        <x:v>20</x:v>
      </x:c>
      <x:c r="D10" s="25" t="str">
        <x:v>0.5159</x:v>
      </x:c>
      <x:c r="E10" s="25" t="str">
        <x:v>#4A1486</x:v>
      </x:c>
    </x:row>
    <x:row r="11">
      <x:c r="A11" s="25" t="str">
        <x:v>T04</x:v>
      </x:c>
      <x:c r="B11" s="25" t="str">
        <x:v>Evidência hidrogeológica datada</x:v>
      </x:c>
      <x:c r="C11" s="25" t="str">
        <x:v>1637</x:v>
      </x:c>
      <x:c r="D11" s="25" t="str">
        <x:v>42.2234</x:v>
      </x:c>
      <x:c r="E11" s="25" t="str">
        <x:v>#7B1FA2</x:v>
      </x:c>
    </x:row>
    <x:row r="12">
      <x:c r="A12" s="25" t="str">
        <x:v>T05</x:v>
      </x:c>
      <x:c r="B12" s="25" t="str">
        <x:v>Múltiplos domínios de evidência datada</x:v>
      </x:c>
      <x:c r="C12" s="25" t="str">
        <x:v>475</x:v>
      </x:c>
      <x:c r="D12" s="25" t="str">
        <x:v>12.2517</x:v>
      </x:c>
      <x:c r="E12" s="25" t="str">
        <x:v>#9C27B0</x:v>
      </x:c>
    </x:row>
    <x:row r="13">
      <x:c r="A13" s="25" t="str">
        <x:v>T06</x:v>
      </x:c>
      <x:c r="B13" s="25" t="str">
        <x:v>Cadastro identificado como RIMAS</x:v>
      </x:c>
      <x:c r="C13" s="25" t="str">
        <x:v>22</x:v>
      </x:c>
      <x:c r="D13" s="25" t="str">
        <x:v>0.5674</x:v>
      </x:c>
      <x:c r="E13" s="25" t="str">
        <x:v>#5E35B1</x:v>
      </x:c>
    </x:row>
    <x:row r="14">
      <x:c r="A14" s="25" t="str">
        <x:v>T07</x:v>
      </x:c>
      <x:c r="B14" s="25" t="str">
        <x:v>Série temporal demonstrada no conjunto adquirido</x:v>
      </x:c>
      <x:c r="C14" s="25" t="str">
        <x:v>0</x:v>
      </x:c>
      <x:c r="D14" s="25" t="str">
        <x:v>0</x:v>
      </x:c>
      <x:c r="E14" s="25" t="str">
        <x:v>#5B5B88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</x:cols>
  <x:sheetData>
    <x:row r="1">
      <x:c r="A1" s="20" t="str">
        <x:v>hydro_unit</x:v>
      </x:c>
      <x:c r="B1" s="20" t="str">
        <x:v>n_wells</x:v>
      </x:c>
      <x:c r="C1" s="20" t="str">
        <x:v>depth_positive_pct</x:v>
      </x:c>
      <x:c r="D1" s="20" t="str">
        <x:v>formation_documented_pct</x:v>
      </x:c>
      <x:c r="E1" s="20" t="str">
        <x:v>penetration_documented_pct</x:v>
      </x:c>
      <x:c r="F1" s="20" t="str">
        <x:v>hydraulic_condition_documented_pct</x:v>
      </x:c>
      <x:c r="G1" s="20" t="str">
        <x:v>capture_type_documented_pct</x:v>
      </x:c>
      <x:c r="H1" s="20" t="str">
        <x:v>top_base_raw_pct</x:v>
      </x:c>
      <x:c r="I1" s="20" t="str">
        <x:v>diameter_documented_pct</x:v>
      </x:c>
      <x:c r="J1" s="20" t="str">
        <x:v>test_dated_pct</x:v>
      </x:c>
      <x:c r="K1" s="20" t="str">
        <x:v>chemistry_dated_pct</x:v>
      </x:c>
      <x:c r="L1" s="20" t="str">
        <x:v>level_measurement_dated_pct</x:v>
      </x:c>
      <x:c r="M1" s="20" t="str">
        <x:v>dated_any_pct</x:v>
      </x:c>
      <x:c r="N1" s="20" t="str">
        <x:v>multi_domain_dated_pct</x:v>
      </x:c>
      <x:c r="O1" s="20" t="str">
        <x:v>rimas_registered_n</x:v>
      </x:c>
      <x:c r="P1" s="20" t="str">
        <x:v>latest_evidence_age_median_years</x:v>
      </x:c>
      <x:c r="Q1" s="20" t="str">
        <x:v>latest_evidence_age_p90_years</x:v>
      </x:c>
      <x:c r="R1" s="20" t="str">
        <x:v>series_demonstrated_n</x:v>
      </x:c>
    </x:row>
    <x:row r="2">
      <x:c r="A2" s="25" t="str">
        <x:v>Depósitos aluvionares</x:v>
      </x:c>
      <x:c r="B2" s="25" t="str">
        <x:v>23</x:v>
      </x:c>
      <x:c r="C2" s="25" t="str">
        <x:v>78.26086956521739</x:v>
      </x:c>
      <x:c r="D2" s="25" t="str">
        <x:v>30.434782608695656</x:v>
      </x:c>
      <x:c r="E2" s="25" t="str">
        <x:v>26.08695652173913</x:v>
      </x:c>
      <x:c r="F2" s="25" t="str">
        <x:v>21.73913043478261</x:v>
      </x:c>
      <x:c r="G2" s="25" t="str">
        <x:v>26.08695652173913</x:v>
      </x:c>
      <x:c r="H2" s="25" t="str">
        <x:v>0.0</x:v>
      </x:c>
      <x:c r="I2" s="25" t="str">
        <x:v>21.73913043478261</x:v>
      </x:c>
      <x:c r="J2" s="25" t="str">
        <x:v>52.17391304347826</x:v>
      </x:c>
      <x:c r="K2" s="25" t="str">
        <x:v>21.73913043478261</x:v>
      </x:c>
      <x:c r="L2" s="25" t="str">
        <x:v>0.0</x:v>
      </x:c>
      <x:c r="M2" s="25" t="str">
        <x:v>52.17391304347826</x:v>
      </x:c>
      <x:c r="N2" s="25" t="str">
        <x:v>21.73913043478261</x:v>
      </x:c>
      <x:c r="O2" s="25" t="str">
        <x:v>0</x:v>
      </x:c>
      <x:c r="P2" s="25" t="str">
        <x:v>17.36106833131413</x:v>
      </x:c>
      <x:c r="Q2" s="25" t="str">
        <x:v>39.43872906356736</x:v>
      </x:c>
      <x:c r="R2" s="25" t="str">
        <x:v>0</x:v>
      </x:c>
    </x:row>
    <x:row r="3">
      <x:c r="A3" s="25" t="str">
        <x:v>Embasamento Indiferenciado</x:v>
      </x:c>
      <x:c r="B3" s="25" t="str">
        <x:v>42</x:v>
      </x:c>
      <x:c r="C3" s="25" t="str">
        <x:v>95.23809523809523</x:v>
      </x:c>
      <x:c r="D3" s="25" t="str">
        <x:v>61.904761904761905</x:v>
      </x:c>
      <x:c r="E3" s="25" t="str">
        <x:v>2.380952380952381</x:v>
      </x:c>
      <x:c r="F3" s="25" t="str">
        <x:v>0.0</x:v>
      </x:c>
      <x:c r="G3" s="25" t="str">
        <x:v>2.380952380952381</x:v>
      </x:c>
      <x:c r="H3" s="25" t="str">
        <x:v>0.0</x:v>
      </x:c>
      <x:c r="I3" s="25" t="str">
        <x:v>0.0</x:v>
      </x:c>
      <x:c r="J3" s="25" t="str">
        <x:v>57.14285714285714</x:v>
      </x:c>
      <x:c r="K3" s="25" t="str">
        <x:v>14.285714285714285</x:v>
      </x:c>
      <x:c r="L3" s="25" t="str">
        <x:v>0.0</x:v>
      </x:c>
      <x:c r="M3" s="25" t="str">
        <x:v>59.523809523809526</x:v>
      </x:c>
      <x:c r="N3" s="25" t="str">
        <x:v>11.904761904761903</x:v>
      </x:c>
      <x:c r="O3" s="25" t="str">
        <x:v>0</x:v>
      </x:c>
      <x:c r="P3" s="25" t="str">
        <x:v>23.655516540380706</x:v>
      </x:c>
      <x:c r="Q3" s="25" t="str">
        <x:v>33.7107538142467</x:v>
      </x:c>
      <x:c r="R3" s="25" t="str">
        <x:v>0</x:v>
      </x:c>
    </x:row>
    <x:row r="4">
      <x:c r="A4" s="25" t="str">
        <x:v>Formação Aquidauana</x:v>
      </x:c>
      <x:c r="B4" s="25" t="str">
        <x:v>113</x:v>
      </x:c>
      <x:c r="C4" s="25" t="str">
        <x:v>94.69026548672566</x:v>
      </x:c>
      <x:c r="D4" s="25" t="str">
        <x:v>47.78761061946903</x:v>
      </x:c>
      <x:c r="E4" s="25" t="str">
        <x:v>5.3097345132743365</x:v>
      </x:c>
      <x:c r="F4" s="25" t="str">
        <x:v>4.424778761061947</x:v>
      </x:c>
      <x:c r="G4" s="25" t="str">
        <x:v>4.424778761061947</x:v>
      </x:c>
      <x:c r="H4" s="25" t="str">
        <x:v>3.5398230088495577</x:v>
      </x:c>
      <x:c r="I4" s="25" t="str">
        <x:v>10.619469026548673</x:v>
      </x:c>
      <x:c r="J4" s="25" t="str">
        <x:v>48.67256637168141</x:v>
      </x:c>
      <x:c r="K4" s="25" t="str">
        <x:v>6.1946902654867255</x:v>
      </x:c>
      <x:c r="L4" s="25" t="str">
        <x:v>0.0</x:v>
      </x:c>
      <x:c r="M4" s="25" t="str">
        <x:v>48.67256637168141</x:v>
      </x:c>
      <x:c r="N4" s="25" t="str">
        <x:v>6.1946902654867255</x:v>
      </x:c>
      <x:c r="O4" s="25" t="str">
        <x:v>0</x:v>
      </x:c>
      <x:c r="P4" s="25" t="str">
        <x:v>44.12410932462679</x:v>
      </x:c>
      <x:c r="Q4" s="25" t="str">
        <x:v>57.65484575316399</x:v>
      </x:c>
      <x:c r="R4" s="25" t="str">
        <x:v>0</x:v>
      </x:c>
    </x:row>
    <x:row r="5">
      <x:c r="A5" s="25" t="str">
        <x:v>Formação Botucatu</x:v>
      </x:c>
      <x:c r="B5" s="25" t="str">
        <x:v>158</x:v>
      </x:c>
      <x:c r="C5" s="25" t="str">
        <x:v>87.34177215189874</x:v>
      </x:c>
      <x:c r="D5" s="25" t="str">
        <x:v>44.936708860759495</x:v>
      </x:c>
      <x:c r="E5" s="25" t="str">
        <x:v>34.177215189873415</x:v>
      </x:c>
      <x:c r="F5" s="25" t="str">
        <x:v>29.746835443037973</x:v>
      </x:c>
      <x:c r="G5" s="25" t="str">
        <x:v>27.21518987341772</x:v>
      </x:c>
      <x:c r="H5" s="25" t="str">
        <x:v>5.063291139240507</x:v>
      </x:c>
      <x:c r="I5" s="25" t="str">
        <x:v>30.37974683544304</x:v>
      </x:c>
      <x:c r="J5" s="25" t="str">
        <x:v>55.06329113924051</x:v>
      </x:c>
      <x:c r="K5" s="25" t="str">
        <x:v>14.556962025316455</x:v>
      </x:c>
      <x:c r="L5" s="25" t="str">
        <x:v>2.5316455696202533</x:v>
      </x:c>
      <x:c r="M5" s="25" t="str">
        <x:v>56.9620253164557</x:v>
      </x:c>
      <x:c r="N5" s="25" t="str">
        <x:v>12.658227848101266</x:v>
      </x:c>
      <x:c r="O5" s="25" t="str">
        <x:v>4</x:v>
      </x:c>
      <x:c r="P5" s="25" t="str">
        <x:v>23.88823863597473</x:v>
      </x:c>
      <x:c r="Q5" s="25" t="str">
        <x:v>41.523919040089815</x:v>
      </x:c>
      <x:c r="R5" s="25" t="str">
        <x:v>0</x:v>
      </x:c>
    </x:row>
    <x:row r="6">
      <x:c r="A6" s="25" t="str">
        <x:v>Formação Cachoeirinha</x:v>
      </x:c>
      <x:c r="B6" s="25" t="str">
        <x:v>58</x:v>
      </x:c>
      <x:c r="C6" s="25" t="str">
        <x:v>84.48275862068965</x:v>
      </x:c>
      <x:c r="D6" s="25" t="str">
        <x:v>32.758620689655174</x:v>
      </x:c>
      <x:c r="E6" s="25" t="str">
        <x:v>12.068965517241379</x:v>
      </x:c>
      <x:c r="F6" s="25" t="str">
        <x:v>12.068965517241379</x:v>
      </x:c>
      <x:c r="G6" s="25" t="str">
        <x:v>12.068965517241379</x:v>
      </x:c>
      <x:c r="H6" s="25" t="str">
        <x:v>1.7241379310344827</x:v>
      </x:c>
      <x:c r="I6" s="25" t="str">
        <x:v>10.344827586206897</x:v>
      </x:c>
      <x:c r="J6" s="25" t="str">
        <x:v>32.758620689655174</x:v>
      </x:c>
      <x:c r="K6" s="25" t="str">
        <x:v>15.517241379310345</x:v>
      </x:c>
      <x:c r="L6" s="25" t="str">
        <x:v>0.0</x:v>
      </x:c>
      <x:c r="M6" s="25" t="str">
        <x:v>36.206896551724135</x:v>
      </x:c>
      <x:c r="N6" s="25" t="str">
        <x:v>12.068965517241379</x:v>
      </x:c>
      <x:c r="O6" s="25" t="str">
        <x:v>0</x:v>
      </x:c>
      <x:c r="P6" s="25" t="str">
        <x:v>18.708118578752472</x:v>
      </x:c>
      <x:c r="Q6" s="25" t="str">
        <x:v>37.364216924372165</x:v>
      </x:c>
      <x:c r="R6" s="25" t="str">
        <x:v>0</x:v>
      </x:c>
    </x:row>
    <x:row r="7">
      <x:c r="A7" s="25" t="str">
        <x:v>Formação Furnas</x:v>
      </x:c>
      <x:c r="B7" s="25" t="str">
        <x:v>75</x:v>
      </x:c>
      <x:c r="C7" s="25" t="str">
        <x:v>97.33333333333334</x:v>
      </x:c>
      <x:c r="D7" s="25" t="str">
        <x:v>68.0</x:v>
      </x:c>
      <x:c r="E7" s="25" t="str">
        <x:v>6.666666666666667</x:v>
      </x:c>
      <x:c r="F7" s="25" t="str">
        <x:v>4.0</x:v>
      </x:c>
      <x:c r="G7" s="25" t="str">
        <x:v>6.666666666666667</x:v>
      </x:c>
      <x:c r="H7" s="25" t="str">
        <x:v>2.666666666666667</x:v>
      </x:c>
      <x:c r="I7" s="25" t="str">
        <x:v>4.0</x:v>
      </x:c>
      <x:c r="J7" s="25" t="str">
        <x:v>72.0</x:v>
      </x:c>
      <x:c r="K7" s="25" t="str">
        <x:v>5.333333333333334</x:v>
      </x:c>
      <x:c r="L7" s="25" t="str">
        <x:v>1.3333333333333335</x:v>
      </x:c>
      <x:c r="M7" s="25" t="str">
        <x:v>72.0</x:v>
      </x:c>
      <x:c r="N7" s="25" t="str">
        <x:v>5.333333333333334</x:v>
      </x:c>
      <x:c r="O7" s="25" t="str">
        <x:v>1</x:v>
      </x:c>
      <x:c r="P7" s="25" t="str">
        <x:v>26.12237075367735</x:v>
      </x:c>
      <x:c r="Q7" s="25" t="str">
        <x:v>44.344510838689374</x:v>
      </x:c>
      <x:c r="R7" s="25" t="str">
        <x:v>0</x:v>
      </x:c>
    </x:row>
    <x:row r="8">
      <x:c r="A8" s="25" t="str">
        <x:v>Formação Palermo</x:v>
      </x:c>
      <x:c r="B8" s="25" t="str">
        <x:v>1</x:v>
      </x:c>
      <x:c r="C8" s="25" t="str">
        <x:v>100.0</x:v>
      </x:c>
      <x:c r="D8" s="25" t="str">
        <x:v>100.0</x:v>
      </x:c>
      <x:c r="E8" s="25" t="str">
        <x:v>0.0</x:v>
      </x:c>
      <x:c r="F8" s="25" t="str">
        <x:v>0.0</x:v>
      </x:c>
      <x:c r="G8" s="25" t="str">
        <x:v>0.0</x:v>
      </x:c>
      <x:c r="H8" s="25" t="str">
        <x:v>0.0</x:v>
      </x:c>
      <x:c r="I8" s="25" t="str">
        <x:v>0.0</x:v>
      </x:c>
      <x:c r="J8" s="25" t="str">
        <x:v>100.0</x:v>
      </x:c>
      <x:c r="K8" s="25" t="str">
        <x:v>100.0</x:v>
      </x:c>
      <x:c r="L8" s="25" t="str">
        <x:v>0.0</x:v>
      </x:c>
      <x:c r="M8" s="25" t="str">
        <x:v>100.0</x:v>
      </x:c>
      <x:c r="N8" s="25" t="str">
        <x:v>100.0</x:v>
      </x:c>
      <x:c r="O8" s="25" t="str">
        <x:v>0</x:v>
      </x:c>
      <x:c r="P8" s="25" t="str">
        <x:v>22.073006290341347</x:v>
      </x:c>
      <x:c r="Q8" s="25" t="str">
        <x:v>22.073006290341347</x:v>
      </x:c>
      <x:c r="R8" s="25" t="str">
        <x:v>0</x:v>
      </x:c>
    </x:row>
    <x:row r="9">
      <x:c r="A9" s="25" t="str">
        <x:v>Formação Pantanal</x:v>
      </x:c>
      <x:c r="B9" s="25" t="str">
        <x:v>23</x:v>
      </x:c>
      <x:c r="C9" s="25" t="str">
        <x:v>91.30434782608695</x:v>
      </x:c>
      <x:c r="D9" s="25" t="str">
        <x:v>34.78260869565217</x:v>
      </x:c>
      <x:c r="E9" s="25" t="str">
        <x:v>8.695652173913043</x:v>
      </x:c>
      <x:c r="F9" s="25" t="str">
        <x:v>8.695652173913043</x:v>
      </x:c>
      <x:c r="G9" s="25" t="str">
        <x:v>8.695652173913043</x:v>
      </x:c>
      <x:c r="H9" s="25" t="str">
        <x:v>8.695652173913043</x:v>
      </x:c>
      <x:c r="I9" s="25" t="str">
        <x:v>4.3478260869565215</x:v>
      </x:c>
      <x:c r="J9" s="25" t="str">
        <x:v>39.130434782608695</x:v>
      </x:c>
      <x:c r="K9" s="25" t="str">
        <x:v>17.391304347826086</x:v>
      </x:c>
      <x:c r="L9" s="25" t="str">
        <x:v>0.0</x:v>
      </x:c>
      <x:c r="M9" s="25" t="str">
        <x:v>39.130434782608695</x:v>
      </x:c>
      <x:c r="N9" s="25" t="str">
        <x:v>17.391304347826086</x:v>
      </x:c>
      <x:c r="O9" s="25" t="str">
        <x:v>0</x:v>
      </x:c>
      <x:c r="P9" s="25" t="str">
        <x:v>17.051684839524427</x:v>
      </x:c>
      <x:c r="Q9" s="25" t="str">
        <x:v>29.9713204241018</x:v>
      </x:c>
      <x:c r="R9" s="25" t="str">
        <x:v>0</x:v>
      </x:c>
    </x:row>
    <x:row r="10">
      <x:c r="A10" s="25" t="str">
        <x:v>Formação Ponta Grossa</x:v>
      </x:c>
      <x:c r="B10" s="25" t="str">
        <x:v>34</x:v>
      </x:c>
      <x:c r="C10" s="25" t="str">
        <x:v>88.23529411764706</x:v>
      </x:c>
      <x:c r="D10" s="25" t="str">
        <x:v>70.58823529411765</x:v>
      </x:c>
      <x:c r="E10" s="25" t="str">
        <x:v>8.823529411764707</x:v>
      </x:c>
      <x:c r="F10" s="25" t="str">
        <x:v>5.88235294117647</x:v>
      </x:c>
      <x:c r="G10" s="25" t="str">
        <x:v>5.88235294117647</x:v>
      </x:c>
      <x:c r="H10" s="25" t="str">
        <x:v>2.941176470588235</x:v>
      </x:c>
      <x:c r="I10" s="25" t="str">
        <x:v>2.941176470588235</x:v>
      </x:c>
      <x:c r="J10" s="25" t="str">
        <x:v>70.58823529411765</x:v>
      </x:c>
      <x:c r="K10" s="25" t="str">
        <x:v>2.941176470588235</x:v>
      </x:c>
      <x:c r="L10" s="25" t="str">
        <x:v>0.0</x:v>
      </x:c>
      <x:c r="M10" s="25" t="str">
        <x:v>70.58823529411765</x:v>
      </x:c>
      <x:c r="N10" s="25" t="str">
        <x:v>2.941176470588235</x:v>
      </x:c>
      <x:c r="O10" s="25" t="str">
        <x:v>0</x:v>
      </x:c>
      <x:c r="P10" s="25" t="str">
        <x:v>21.218779304160932</x:v>
      </x:c>
      <x:c r="Q10" s="25" t="str">
        <x:v>41.56142836608554</x:v>
      </x:c>
      <x:c r="R10" s="25" t="str">
        <x:v>0</x:v>
      </x:c>
    </x:row>
    <x:row r="11">
      <x:c r="A11" s="25" t="str">
        <x:v>Formação Serra Geral</x:v>
      </x:c>
      <x:c r="B11" s="25" t="str">
        <x:v>1660</x:v>
      </x:c>
      <x:c r="C11" s="25" t="str">
        <x:v>87.34939759036145</x:v>
      </x:c>
      <x:c r="D11" s="25" t="str">
        <x:v>31.807228915662648</x:v>
      </x:c>
      <x:c r="E11" s="25" t="str">
        <x:v>7.83132530120482</x:v>
      </x:c>
      <x:c r="F11" s="25" t="str">
        <x:v>6.626506024096386</x:v>
      </x:c>
      <x:c r="G11" s="25" t="str">
        <x:v>4.698795180722891</x:v>
      </x:c>
      <x:c r="H11" s="25" t="str">
        <x:v>10.783132530120481</x:v>
      </x:c>
      <x:c r="I11" s="25" t="str">
        <x:v>8.55421686746988</x:v>
      </x:c>
      <x:c r="J11" s="25" t="str">
        <x:v>35.8433734939759</x:v>
      </x:c>
      <x:c r="K11" s="25" t="str">
        <x:v>12.771084337349398</x:v>
      </x:c>
      <x:c r="L11" s="25" t="str">
        <x:v>0.18072289156626506</x:v>
      </x:c>
      <x:c r="M11" s="25" t="str">
        <x:v>37.40963855421687</x:v>
      </x:c>
      <x:c r="N11" s="25" t="str">
        <x:v>11.204819277108435</x:v>
      </x:c>
      <x:c r="O11" s="25" t="str">
        <x:v>2</x:v>
      </x:c>
      <x:c r="P11" s="25" t="str">
        <x:v>23.02579792877335</x:v>
      </x:c>
      <x:c r="Q11" s="25" t="str">
        <x:v>44.43623072342348</x:v>
      </x:c>
      <x:c r="R11" s="25" t="str">
        <x:v>0</x:v>
      </x:c>
    </x:row>
    <x:row r="12">
      <x:c r="A12" s="25" t="str">
        <x:v>Formação Xaraiés</x:v>
      </x:c>
      <x:c r="B12" s="25" t="str">
        <x:v>2</x:v>
      </x:c>
      <x:c r="C12" s="25" t="str">
        <x:v>50.0</x:v>
      </x:c>
      <x:c r="D12" s="25" t="str">
        <x:v>50.0</x:v>
      </x:c>
      <x:c r="E12" s="25" t="str">
        <x:v>0.0</x:v>
      </x:c>
      <x:c r="F12" s="25" t="str">
        <x:v>0.0</x:v>
      </x:c>
      <x:c r="G12" s="25" t="str">
        <x:v>0.0</x:v>
      </x:c>
      <x:c r="H12" s="25" t="str">
        <x:v>0.0</x:v>
      </x:c>
      <x:c r="I12" s="25" t="str">
        <x:v>0.0</x:v>
      </x:c>
      <x:c r="J12" s="25" t="str">
        <x:v>50.0</x:v>
      </x:c>
      <x:c r="K12" s="25" t="str">
        <x:v>0.0</x:v>
      </x:c>
      <x:c r="L12" s="25" t="str">
        <x:v>0.0</x:v>
      </x:c>
      <x:c r="M12" s="25" t="str">
        <x:v>50.0</x:v>
      </x:c>
      <x:c r="N12" s="25" t="str">
        <x:v>0.0</x:v>
      </x:c>
      <x:c r="O12" s="25" t="str">
        <x:v>0</x:v>
      </x:c>
      <x:c r="P12" s="25" t="str">
        <x:v>23.44469770084259</x:v>
      </x:c>
      <x:c r="Q12" s="25" t="str">
        <x:v>23.44469770084259</x:v>
      </x:c>
      <x:c r="R12" s="25" t="str">
        <x:v>0</x:v>
      </x:c>
    </x:row>
    <x:row r="13">
      <x:c r="A13" s="25" t="str">
        <x:v>Grupo Bauru</x:v>
      </x:c>
      <x:c r="B13" s="25" t="str">
        <x:v>250</x:v>
      </x:c>
      <x:c r="C13" s="25" t="str">
        <x:v>66.0</x:v>
      </x:c>
      <x:c r="D13" s="25" t="str">
        <x:v>22.400000000000002</x:v>
      </x:c>
      <x:c r="E13" s="25" t="str">
        <x:v>12.0</x:v>
      </x:c>
      <x:c r="F13" s="25" t="str">
        <x:v>9.6</x:v>
      </x:c>
      <x:c r="G13" s="25" t="str">
        <x:v>12.8</x:v>
      </x:c>
      <x:c r="H13" s="25" t="str">
        <x:v>9.2</x:v>
      </x:c>
      <x:c r="I13" s="25" t="str">
        <x:v>9.6</x:v>
      </x:c>
      <x:c r="J13" s="25" t="str">
        <x:v>24.0</x:v>
      </x:c>
      <x:c r="K13" s="25" t="str">
        <x:v>9.6</x:v>
      </x:c>
      <x:c r="L13" s="25" t="str">
        <x:v>0.4</x:v>
      </x:c>
      <x:c r="M13" s="25" t="str">
        <x:v>28.4</x:v>
      </x:c>
      <x:c r="N13" s="25" t="str">
        <x:v>5.2</x:v>
      </x:c>
      <x:c r="O13" s="25" t="str">
        <x:v>2</x:v>
      </x:c>
      <x:c r="P13" s="25" t="str">
        <x:v>23.4419597938356</x:v>
      </x:c>
      <x:c r="Q13" s="25" t="str">
        <x:v>47.469831687166746</x:v>
      </x:c>
      <x:c r="R13" s="25" t="str">
        <x:v>0</x:v>
      </x:c>
    </x:row>
    <x:row r="14">
      <x:c r="A14" s="25" t="str">
        <x:v>Grupo Caiuá</x:v>
      </x:c>
      <x:c r="B14" s="25" t="str">
        <x:v>1305</x:v>
      </x:c>
      <x:c r="C14" s="25" t="str">
        <x:v>92.03065134099617</x:v>
      </x:c>
      <x:c r="D14" s="25" t="str">
        <x:v>38.31417624521073</x:v>
      </x:c>
      <x:c r="E14" s="25" t="str">
        <x:v>12.413793103448276</x:v>
      </x:c>
      <x:c r="F14" s="25" t="str">
        <x:v>12.796934865900383</x:v>
      </x:c>
      <x:c r="G14" s="25" t="str">
        <x:v>10.881226053639846</x:v>
      </x:c>
      <x:c r="H14" s="25" t="str">
        <x:v>6.81992337164751</x:v>
      </x:c>
      <x:c r="I14" s="25" t="str">
        <x:v>12.413793103448276</x:v>
      </x:c>
      <x:c r="J14" s="25" t="str">
        <x:v>42.758620689655174</x:v>
      </x:c>
      <x:c r="K14" s="25" t="str">
        <x:v>16.551724137931036</x:v>
      </x:c>
      <x:c r="L14" s="25" t="str">
        <x:v>0.8429118773946359</x:v>
      </x:c>
      <x:c r="M14" s="25" t="str">
        <x:v>43.60153256704981</x:v>
      </x:c>
      <x:c r="N14" s="25" t="str">
        <x:v>15.785440613026818</x:v>
      </x:c>
      <x:c r="O14" s="25" t="str">
        <x:v>13</x:v>
      </x:c>
      <x:c r="P14" s="25" t="str">
        <x:v>21.514473260915693</x:v>
      </x:c>
      <x:c r="Q14" s="25" t="str">
        <x:v>45.70935748167313</x:v>
      </x:c>
      <x:c r="R14" s="25" t="str">
        <x:v>0</x:v>
      </x:c>
    </x:row>
    <x:row r="15">
      <x:c r="A15" s="25" t="str">
        <x:v>Grupo Corumbá</x:v>
      </x:c>
      <x:c r="B15" s="25" t="str">
        <x:v>36</x:v>
      </x:c>
      <x:c r="C15" s="25" t="str">
        <x:v>94.44444444444444</x:v>
      </x:c>
      <x:c r="D15" s="25" t="str">
        <x:v>52.77777777777778</x:v>
      </x:c>
      <x:c r="E15" s="25" t="str">
        <x:v>0.0</x:v>
      </x:c>
      <x:c r="F15" s="25" t="str">
        <x:v>0.0</x:v>
      </x:c>
      <x:c r="G15" s="25" t="str">
        <x:v>0.0</x:v>
      </x:c>
      <x:c r="H15" s="25" t="str">
        <x:v>0.0</x:v>
      </x:c>
      <x:c r="I15" s="25" t="str">
        <x:v>2.7777777777777777</x:v>
      </x:c>
      <x:c r="J15" s="25" t="str">
        <x:v>61.111111111111114</x:v>
      </x:c>
      <x:c r="K15" s="25" t="str">
        <x:v>13.88888888888889</x:v>
      </x:c>
      <x:c r="L15" s="25" t="str">
        <x:v>0.0</x:v>
      </x:c>
      <x:c r="M15" s="25" t="str">
        <x:v>66.66666666666666</x:v>
      </x:c>
      <x:c r="N15" s="25" t="str">
        <x:v>8.333333333333332</x:v>
      </x:c>
      <x:c r="O15" s="25" t="str">
        <x:v>0</x:v>
      </x:c>
      <x:c r="P15" s="25" t="str">
        <x:v>27.407818093458452</x:v>
      </x:c>
      <x:c r="Q15" s="25" t="str">
        <x:v>43.53080487621237</x:v>
      </x:c>
      <x:c r="R15" s="25" t="str">
        <x:v>0</x:v>
      </x:c>
    </x:row>
    <x:row r="16">
      <x:c r="A16" s="25" t="str">
        <x:v>Grupo Cuiaba</x:v>
      </x:c>
      <x:c r="B16" s="25" t="str">
        <x:v>97</x:v>
      </x:c>
      <x:c r="C16" s="25" t="str">
        <x:v>88.65979381443299</x:v>
      </x:c>
      <x:c r="D16" s="25" t="str">
        <x:v>61.855670103092784</x:v>
      </x:c>
      <x:c r="E16" s="25" t="str">
        <x:v>10.309278350515463</x:v>
      </x:c>
      <x:c r="F16" s="25" t="str">
        <x:v>8.24742268041237</x:v>
      </x:c>
      <x:c r="G16" s="25" t="str">
        <x:v>10.309278350515463</x:v>
      </x:c>
      <x:c r="H16" s="25" t="str">
        <x:v>7.216494845360824</x:v>
      </x:c>
      <x:c r="I16" s="25" t="str">
        <x:v>7.216494845360824</x:v>
      </x:c>
      <x:c r="J16" s="25" t="str">
        <x:v>61.855670103092784</x:v>
      </x:c>
      <x:c r="K16" s="25" t="str">
        <x:v>13.402061855670103</x:v>
      </x:c>
      <x:c r="L16" s="25" t="str">
        <x:v>0.0</x:v>
      </x:c>
      <x:c r="M16" s="25" t="str">
        <x:v>61.855670103092784</x:v>
      </x:c>
      <x:c r="N16" s="25" t="str">
        <x:v>13.402061855670103</x:v>
      </x:c>
      <x:c r="O16" s="25" t="str">
        <x:v>0</x:v>
      </x:c>
      <x:c r="P16" s="25" t="str">
        <x:v>25.4912831885665</x:v>
      </x:c>
      <x:c r="Q16" s="25" t="str">
        <x:v>45.71072643517663</x:v>
      </x:c>
      <x:c r="R16" s="25" t="str">
        <x:v>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</x:cols>
  <x:sheetData>
    <x:row r="1">
      <x:c r="A1" s="20" t="str">
        <x:v>hydrolithologic_domain</x:v>
      </x:c>
      <x:c r="B1" s="20" t="str">
        <x:v>n_wells</x:v>
      </x:c>
      <x:c r="C1" s="20" t="str">
        <x:v>depth_positive_pct</x:v>
      </x:c>
      <x:c r="D1" s="20" t="str">
        <x:v>formation_documented_pct</x:v>
      </x:c>
      <x:c r="E1" s="20" t="str">
        <x:v>penetration_documented_pct</x:v>
      </x:c>
      <x:c r="F1" s="20" t="str">
        <x:v>hydraulic_condition_documented_pct</x:v>
      </x:c>
      <x:c r="G1" s="20" t="str">
        <x:v>capture_type_documented_pct</x:v>
      </x:c>
      <x:c r="H1" s="20" t="str">
        <x:v>top_base_raw_pct</x:v>
      </x:c>
      <x:c r="I1" s="20" t="str">
        <x:v>diameter_documented_pct</x:v>
      </x:c>
      <x:c r="J1" s="20" t="str">
        <x:v>test_dated_pct</x:v>
      </x:c>
      <x:c r="K1" s="20" t="str">
        <x:v>chemistry_dated_pct</x:v>
      </x:c>
      <x:c r="L1" s="20" t="str">
        <x:v>level_measurement_dated_pct</x:v>
      </x:c>
      <x:c r="M1" s="20" t="str">
        <x:v>dated_any_pct</x:v>
      </x:c>
      <x:c r="N1" s="20" t="str">
        <x:v>multi_domain_dated_pct</x:v>
      </x:c>
      <x:c r="O1" s="20" t="str">
        <x:v>rimas_registered_n</x:v>
      </x:c>
      <x:c r="P1" s="20" t="str">
        <x:v>latest_evidence_age_median_years</x:v>
      </x:c>
      <x:c r="Q1" s="20" t="str">
        <x:v>latest_evidence_age_p90_years</x:v>
      </x:c>
      <x:c r="R1" s="20" t="str">
        <x:v>series_demonstrated_n</x:v>
      </x:c>
    </x:row>
    <x:row r="2">
      <x:c r="A2" s="25" t="str">
        <x:v>Cárstica</x:v>
      </x:c>
      <x:c r="B2" s="25" t="str">
        <x:v>49</x:v>
      </x:c>
      <x:c r="C2" s="25" t="str">
        <x:v>93.87755102040816</x:v>
      </x:c>
      <x:c r="D2" s="25" t="str">
        <x:v>59.183673469387756</x:v>
      </x:c>
      <x:c r="E2" s="25" t="str">
        <x:v>2.0408163265306123</x:v>
      </x:c>
      <x:c r="F2" s="25" t="str">
        <x:v>2.0408163265306123</x:v>
      </x:c>
      <x:c r="G2" s="25" t="str">
        <x:v>2.0408163265306123</x:v>
      </x:c>
      <x:c r="H2" s="25" t="str">
        <x:v>2.0408163265306123</x:v>
      </x:c>
      <x:c r="I2" s="25" t="str">
        <x:v>4.081632653061225</x:v>
      </x:c>
      <x:c r="J2" s="25" t="str">
        <x:v>67.3469387755102</x:v>
      </x:c>
      <x:c r="K2" s="25" t="str">
        <x:v>14.285714285714285</x:v>
      </x:c>
      <x:c r="L2" s="25" t="str">
        <x:v>0.0</x:v>
      </x:c>
      <x:c r="M2" s="25" t="str">
        <x:v>71.42857142857143</x:v>
      </x:c>
      <x:c r="N2" s="25" t="str">
        <x:v>10.204081632653061</x:v>
      </x:c>
      <x:c r="O2" s="25" t="str">
        <x:v>0</x:v>
      </x:c>
      <x:c r="P2" s="25" t="str">
        <x:v>29.8267589341328</x:v>
      </x:c>
      <x:c r="Q2" s="25" t="str">
        <x:v>45.911962600190286</x:v>
      </x:c>
      <x:c r="R2" s="25" t="str">
        <x:v>0</x:v>
      </x:c>
    </x:row>
    <x:row r="3">
      <x:c r="A3" s="25" t="str">
        <x:v>Fraturada</x:v>
      </x:c>
      <x:c r="B3" s="25" t="str">
        <x:v>1788</x:v>
      </x:c>
      <x:c r="C3" s="25" t="str">
        <x:v>87.52796420581656</x:v>
      </x:c>
      <x:c r="D3" s="25" t="str">
        <x:v>33.836689038031324</x:v>
      </x:c>
      <x:c r="E3" s="25" t="str">
        <x:v>7.829977628635347</x:v>
      </x:c>
      <x:c r="F3" s="25" t="str">
        <x:v>6.543624161073826</x:v>
      </x:c>
      <x:c r="G3" s="25" t="str">
        <x:v>4.921700223713646</x:v>
      </x:c>
      <x:c r="H3" s="25" t="str">
        <x:v>10.346756152125279</x:v>
      </x:c>
      <x:c r="I3" s="25" t="str">
        <x:v>8.277404921700224</x:v>
      </x:c>
      <x:c r="J3" s="25" t="str">
        <x:v>37.41610738255034</x:v>
      </x:c>
      <x:c r="K3" s="25" t="str">
        <x:v>12.807606263982102</x:v>
      </x:c>
      <x:c r="L3" s="25" t="str">
        <x:v>0.16778523489932887</x:v>
      </x:c>
      <x:c r="M3" s="25" t="str">
        <x:v>38.92617449664429</x:v>
      </x:c>
      <x:c r="N3" s="25" t="str">
        <x:v>11.297539149888143</x:v>
      </x:c>
      <x:c r="O3" s="25" t="str">
        <x:v>2</x:v>
      </x:c>
      <x:c r="P3" s="25" t="str">
        <x:v>23.391308514206315</x:v>
      </x:c>
      <x:c r="Q3" s="25" t="str">
        <x:v>44.41980328138155</x:v>
      </x:c>
      <x:c r="R3" s="25" t="str">
        <x:v>0</x:v>
      </x:c>
    </x:row>
    <x:row r="4">
      <x:c r="A4" s="25" t="str">
        <x:v>Granular</x:v>
      </x:c>
      <x:c r="B4" s="25" t="str">
        <x:v>2040</x:v>
      </x:c>
      <x:c r="C4" s="25" t="str">
        <x:v>88.38235294117646</x:v>
      </x:c>
      <x:c r="D4" s="25" t="str">
        <x:v>38.77450980392157</x:v>
      </x:c>
      <x:c r="E4" s="25" t="str">
        <x:v>13.480392156862745</x:v>
      </x:c>
      <x:c r="F4" s="25" t="str">
        <x:v>12.84313725490196</x:v>
      </x:c>
      <x:c r="G4" s="25" t="str">
        <x:v>11.96078431372549</x:v>
      </x:c>
      <x:c r="H4" s="25" t="str">
        <x:v>6.372549019607843</x:v>
      </x:c>
      <x:c r="I4" s="25" t="str">
        <x:v>12.84313725490196</x:v>
      </x:c>
      <x:c r="J4" s="25" t="str">
        <x:v>43.08823529411765</x:v>
      </x:c>
      <x:c r="K4" s="25" t="str">
        <x:v>14.411764705882351</x:v>
      </x:c>
      <x:c r="L4" s="25" t="str">
        <x:v>0.8333333333333334</x:v>
      </x:c>
      <x:c r="M4" s="25" t="str">
        <x:v>44.41176470588235</x:v>
      </x:c>
      <x:c r="N4" s="25" t="str">
        <x:v>13.137254901960786</x:v>
      </x:c>
      <x:c r="O4" s="25" t="str">
        <x:v>20</x:v>
      </x:c>
      <x:c r="P4" s="25" t="str">
        <x:v>23.452911421863558</x:v>
      </x:c>
      <x:c r="Q4" s="25" t="str">
        <x:v>46.17890853337167</x:v>
      </x:c>
      <x:c r="R4" s="25" t="str">
        <x:v>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>
      <x:c r="A1" s="20" t="str">
        <x:v>scale_km2</x:v>
      </x:c>
      <x:c r="B1" s="20" t="str">
        <x:v>n_cells</x:v>
      </x:c>
      <x:c r="C1" s="20" t="str">
        <x:v>cells_with_wells</x:v>
      </x:c>
      <x:c r="D1" s="20" t="str">
        <x:v>cells_without_wells</x:v>
      </x:c>
      <x:c r="E1" s="20" t="str">
        <x:v>median_formation_pct_occupied</x:v>
      </x:c>
      <x:c r="F1" s="20" t="str">
        <x:v>median_penetration_pct_occupied</x:v>
      </x:c>
      <x:c r="G1" s="20" t="str">
        <x:v>median_top_base_raw_pct_occupied</x:v>
      </x:c>
      <x:c r="H1" s="20" t="str">
        <x:v>median_any_dated_pct_occupied</x:v>
      </x:c>
      <x:c r="I1" s="20" t="str">
        <x:v>median_latest_age_years_occupied</x:v>
      </x:c>
      <x:c r="J1" s="20" t="str">
        <x:v>cells_with_dated_level_measurement</x:v>
      </x:c>
      <x:c r="K1" s="20" t="str">
        <x:v>cells_with_rimas_registration</x:v>
      </x:c>
      <x:c r="L1" s="20" t="str">
        <x:v>cells_with_demonstrated_time_series</x:v>
      </x:c>
    </x:row>
    <x:row r="2">
      <x:c r="A2" s="25" t="str">
        <x:v>100</x:v>
      </x:c>
      <x:c r="B2" s="25" t="str">
        <x:v>3763</x:v>
      </x:c>
      <x:c r="C2" s="25" t="str">
        <x:v>774</x:v>
      </x:c>
      <x:c r="D2" s="25" t="str">
        <x:v>2989</x:v>
      </x:c>
      <x:c r="E2" s="25" t="str">
        <x:v>0.0</x:v>
      </x:c>
      <x:c r="F2" s="25" t="str">
        <x:v>0.0</x:v>
      </x:c>
      <x:c r="G2" s="25" t="str">
        <x:v>0.0</x:v>
      </x:c>
      <x:c r="H2" s="25" t="str">
        <x:v>0.0</x:v>
      </x:c>
      <x:c r="I2" s="25" t="str">
        <x:v>20.140043943407463</x:v>
      </x:c>
      <x:c r="J2" s="25" t="str">
        <x:v>18</x:v>
      </x:c>
      <x:c r="K2" s="25" t="str">
        <x:v>22</x:v>
      </x:c>
      <x:c r="L2" s="25" t="str">
        <x:v>0</x:v>
      </x:c>
    </x:row>
    <x:row r="3">
      <x:c r="A3" s="25" t="str">
        <x:v>150</x:v>
      </x:c>
      <x:c r="B3" s="25" t="str">
        <x:v>2525</x:v>
      </x:c>
      <x:c r="C3" s="25" t="str">
        <x:v>657</x:v>
      </x:c>
      <x:c r="D3" s="25" t="str">
        <x:v>1868</x:v>
      </x:c>
      <x:c r="E3" s="25" t="str">
        <x:v>0.0</x:v>
      </x:c>
      <x:c r="F3" s="25" t="str">
        <x:v>0.0</x:v>
      </x:c>
      <x:c r="G3" s="25" t="str">
        <x:v>0.0</x:v>
      </x:c>
      <x:c r="H3" s="25" t="str">
        <x:v>16.666666666666664</x:v>
      </x:c>
      <x:c r="I3" s="25" t="str">
        <x:v>20.771131508518312</x:v>
      </x:c>
      <x:c r="J3" s="25" t="str">
        <x:v>18</x:v>
      </x:c>
      <x:c r="K3" s="25" t="str">
        <x:v>22</x:v>
      </x:c>
      <x:c r="L3" s="25" t="str">
        <x:v>0</x:v>
      </x:c>
    </x:row>
    <x:row r="4">
      <x:c r="A4" s="25" t="str">
        <x:v>250</x:v>
      </x:c>
      <x:c r="B4" s="25" t="str">
        <x:v>1537</x:v>
      </x:c>
      <x:c r="C4" s="25" t="str">
        <x:v>523</x:v>
      </x:c>
      <x:c r="D4" s="25" t="str">
        <x:v>1014</x:v>
      </x:c>
      <x:c r="E4" s="25" t="str">
        <x:v>14.285714285714285</x:v>
      </x:c>
      <x:c r="F4" s="25" t="str">
        <x:v>0.0</x:v>
      </x:c>
      <x:c r="G4" s="25" t="str">
        <x:v>0.0</x:v>
      </x:c>
      <x:c r="H4" s="25" t="str">
        <x:v>24.0</x:v>
      </x:c>
      <x:c r="I4" s="25" t="str">
        <x:v>21.222886164671415</x:v>
      </x:c>
      <x:c r="J4" s="25" t="str">
        <x:v>18</x:v>
      </x:c>
      <x:c r="K4" s="25" t="str">
        <x:v>22</x:v>
      </x:c>
      <x:c r="L4" s="25" t="str">
        <x:v>0</x:v>
      </x:c>
    </x:row>
    <x:row r="5">
      <x:c r="A5" s="25" t="str">
        <x:v>500</x:v>
      </x:c>
      <x:c r="B5" s="25" t="str">
        <x:v>791</x:v>
      </x:c>
      <x:c r="C5" s="25" t="str">
        <x:v>354</x:v>
      </x:c>
      <x:c r="D5" s="25" t="str">
        <x:v>437</x:v>
      </x:c>
      <x:c r="E5" s="25" t="str">
        <x:v>25.0</x:v>
      </x:c>
      <x:c r="F5" s="25" t="str">
        <x:v>0.0</x:v>
      </x:c>
      <x:c r="G5" s="25" t="str">
        <x:v>0.0</x:v>
      </x:c>
      <x:c r="H5" s="25" t="str">
        <x:v>33.33333333333333</x:v>
      </x:c>
      <x:c r="I5" s="25" t="str">
        <x:v>20.78618999705675</x:v>
      </x:c>
      <x:c r="J5" s="25" t="str">
        <x:v>18</x:v>
      </x:c>
      <x:c r="K5" s="25" t="str">
        <x:v>22</x:v>
      </x:c>
      <x:c r="L5" s="25" t="str">
        <x:v>0</x:v>
      </x:c>
    </x:row>
    <x:row r="6">
      <x:c r="A6" s="25" t="str">
        <x:v>1000</x:v>
      </x:c>
      <x:c r="B6" s="25" t="str">
        <x:v>413</x:v>
      </x:c>
      <x:c r="C6" s="25" t="str">
        <x:v>240</x:v>
      </x:c>
      <x:c r="D6" s="25" t="str">
        <x:v>173</x:v>
      </x:c>
      <x:c r="E6" s="25" t="str">
        <x:v>30.0187617260788</x:v>
      </x:c>
      <x:c r="F6" s="25" t="str">
        <x:v>0.0</x:v>
      </x:c>
      <x:c r="G6" s="25" t="str">
        <x:v>0.0</x:v>
      </x:c>
      <x:c r="H6" s="25" t="str">
        <x:v>37.32142857142857</x:v>
      </x:c>
      <x:c r="I6" s="25" t="str">
        <x:v>20.82246726489935</x:v>
      </x:c>
      <x:c r="J6" s="25" t="str">
        <x:v>18</x:v>
      </x:c>
      <x:c r="K6" s="25" t="str">
        <x:v>22</x:v>
      </x:c>
      <x:c r="L6" s="25" t="str">
        <x:v>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8" hidden="0" customWidth="1"/>
    <x:col min="4" max="4" width="28" hidden="0" customWidth="1"/>
  </x:cols>
  <x:sheetData>
    <x:row r="1">
      <x:c r="A1" s="20" t="str">
        <x:v>check</x:v>
      </x:c>
      <x:c r="B1" s="20" t="str">
        <x:v>result</x:v>
      </x:c>
      <x:c r="C1" s="20" t="str">
        <x:v>status</x:v>
      </x:c>
      <x:c r="D1" s="20" t="str">
        <x:v>note</x:v>
      </x:c>
    </x:row>
    <x:row r="2">
      <x:c r="A2" s="25" t="str">
        <x:v>CURRENT_SIAGAS_RIMAS_STATUS</x:v>
      </x:c>
      <x:c r="B2" s="25" t="str">
        <x:v>22</x:v>
      </x:c>
      <x:c r="C2" s="25" t="str">
        <x:v>VERIFIED_FROM_ORIGINAL_GEOJSON</x:v>
      </x:c>
      <x:c r="D2" s="25" t="str">
        <x:v>22 registros possuem status_rimas = Rimas no snapshot atual. O campo rimas_flag_current do wells_master V1 estava incorreto e não foi reutilizado.</x:v>
      </x:c>
    </x:row>
    <x:row r="3">
      <x:c r="A3" s="25" t="str">
        <x:v>DATED_LEVEL_MEASUREMENTS_SGB2024</x:v>
      </x:c>
      <x:c r="B3" s="25" t="str">
        <x:v>20</x:v>
      </x:c>
      <x:c r="C3" s="25" t="str">
        <x:v>VERIFIED</x:v>
      </x:c>
      <x:c r="D3" s="25" t="str">
        <x:v>data_medic associada a nivel_agua. Uma medição não constitui série temporal.</x:v>
      </x:c>
    </x:row>
    <x:row r="4">
      <x:c r="A4" s="25" t="str">
        <x:v>EXPLICIT_FILTER_SCREEN_INTERVALS</x:v>
      </x:c>
      <x:c r="B4" s="25" t="str">
        <x:v>0</x:v>
      </x:c>
      <x:c r="C4" s="25" t="str">
        <x:v>NOT_ACQUIRED</x:v>
      </x:c>
      <x:c r="D4" s="25" t="str">
        <x:v>Não foi adquirida tabela relacional de filtros ou telas. Representatividade do intervalo captado permanece UNKNOWN.</x:v>
      </x:c>
    </x:row>
    <x:row r="5">
      <x:c r="A5" s="25" t="str">
        <x:v>DEMONSTRATED_TIME_SERIES</x:v>
      </x:c>
      <x:c r="B5" s="25" t="str">
        <x:v>0</x:v>
      </x:c>
      <x:c r="C5" s="25" t="str">
        <x:v>NOT_ACQUIRED</x:v>
      </x:c>
      <x:c r="D5" s="25" t="str">
        <x:v>O conjunto atual não contém séries completas da mesma variável por poço. Cadastro RIMAS não foi convertido em série observacional.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</x:cols>
  <x:sheetData>
    <x:row r="1">
      <x:c r="A1" s="18" t="str">
        <x:v>Camada</x:v>
      </x:c>
      <x:c r="B1" s="18" t="str">
        <x:v>Feições</x:v>
      </x:c>
      <x:c r="C1" s="18" t="str">
        <x:v>% dos 3.877</x:v>
      </x:c>
    </x:row>
    <x:row r="2">
      <x:c r="A2" t="str">
        <x:v>V02 · Formação do poço documentada</x:v>
      </x:c>
      <x:c r="B2" t="n">
        <x:v>1425</x:v>
      </x:c>
      <x:c r="C2" s="28" t="n">
        <x:v>36.7552</x:v>
      </x:c>
    </x:row>
    <x:row r="3">
      <x:c r="A3" t="str">
        <x:v>V03 · Tipo de penetração documentado</x:v>
      </x:c>
      <x:c r="B3" t="n">
        <x:v>416</x:v>
      </x:c>
      <x:c r="C3" s="28" t="n">
        <x:v>10.7299</x:v>
      </x:c>
    </x:row>
    <x:row r="4">
      <x:c r="A4" t="str">
        <x:v>V04 · Condição hidráulica documentada</x:v>
      </x:c>
      <x:c r="B4" t="n">
        <x:v>380</x:v>
      </x:c>
      <x:c r="C4" s="28" t="n">
        <x:v>9.8014</x:v>
      </x:c>
    </x:row>
    <x:row r="5">
      <x:c r="A5" t="str">
        <x:v>V05 · Tipo de captação documentado</x:v>
      </x:c>
      <x:c r="B5" t="n">
        <x:v>333</x:v>
      </x:c>
      <x:c r="C5" s="28" t="n">
        <x:v>8.5891</x:v>
      </x:c>
    </x:row>
    <x:row r="6">
      <x:c r="A6" t="str">
        <x:v>V06 · Topo e base brutos coerentes</x:v>
      </x:c>
      <x:c r="B6" t="n">
        <x:v>316</x:v>
      </x:c>
      <x:c r="C6" s="28" t="n">
        <x:v>8.1506</x:v>
      </x:c>
    </x:row>
    <x:row r="7">
      <x:c r="A7" t="str">
        <x:v>V07 · Diâmetro documentado</x:v>
      </x:c>
      <x:c r="B7" t="n">
        <x:v>412</x:v>
      </x:c>
      <x:c r="C7" s="28" t="n">
        <x:v>10.6268</x:v>
      </x:c>
    </x:row>
    <x:row r="8">
      <x:c r="A8" t="str">
        <x:v>T01 · Ensaio de bombeamento datado</x:v>
      </x:c>
      <x:c r="B8" t="n">
        <x:v>1581</x:v>
      </x:c>
      <x:c r="C8" s="28" t="n">
        <x:v>40.779</x:v>
      </x:c>
    </x:row>
    <x:row r="9">
      <x:c r="A9" t="str">
        <x:v>T02 · Evidência química datada</x:v>
      </x:c>
      <x:c r="B9" t="n">
        <x:v>530</x:v>
      </x:c>
      <x:c r="C9" s="28" t="n">
        <x:v>13.6704</x:v>
      </x:c>
    </x:row>
    <x:row r="10">
      <x:c r="A10" t="str">
        <x:v>T03 · Medição de nível datada</x:v>
      </x:c>
      <x:c r="B10" t="n">
        <x:v>20</x:v>
      </x:c>
      <x:c r="C10" s="28" t="n">
        <x:v>0.5159</x:v>
      </x:c>
    </x:row>
    <x:row r="11">
      <x:c r="A11" t="str">
        <x:v>T04 · Evidência hidrogeológica datada</x:v>
      </x:c>
      <x:c r="B11" t="n">
        <x:v>1637</x:v>
      </x:c>
      <x:c r="C11" s="28" t="n">
        <x:v>42.2234</x:v>
      </x:c>
    </x:row>
    <x:row r="12">
      <x:c r="A12" t="str">
        <x:v>T05 · Múltiplos domínios de evidência datada</x:v>
      </x:c>
      <x:c r="B12" t="n">
        <x:v>475</x:v>
      </x:c>
      <x:c r="C12" s="28" t="n">
        <x:v>12.2517</x:v>
      </x:c>
    </x:row>
    <x:row r="13">
      <x:c r="A13" t="str">
        <x:v>T06 · Cadastro identificado como RIMAS</x:v>
      </x:c>
      <x:c r="B13" t="n">
        <x:v>22</x:v>
      </x:c>
      <x:c r="C13" s="28" t="n">
        <x:v>0.5674</x:v>
      </x:c>
    </x:row>
    <x:row r="14">
      <x:c r="A14" t="str">
        <x:v>T07 · Série temporal demonstrada no conjunto adquirido</x:v>
      </x:c>
      <x:c r="B14" t="n">
        <x:v>0</x:v>
      </x:c>
      <x:c r="C14" s="28" t="n">
        <x:v>0</x:v>
      </x:c>
    </x:row>
    <x:row r="18">
      <x:c r="A18" s="19" t="str">
        <x:v>Escala km²</x:v>
      </x:c>
      <x:c r="B18" s="19" t="str">
        <x:v>Células</x:v>
      </x:c>
      <x:c r="C18" s="19" t="str">
        <x:v>Com poços</x:v>
      </x:c>
      <x:c r="D18" s="19" t="str">
        <x:v>Formação mediana %</x:v>
      </x:c>
      <x:c r="E18" s="19" t="str">
        <x:v>Penetração mediana %</x:v>
      </x:c>
      <x:c r="F18" s="19" t="str">
        <x:v>Evidência datada mediana %</x:v>
      </x:c>
      <x:c r="G18" s="19" t="str">
        <x:v>Idade mediana da última evidência anos</x:v>
      </x:c>
      <x:c r="H18" s="19" t="str">
        <x:v>Células com nível datado</x:v>
      </x:c>
      <x:c r="I18" s="19" t="str">
        <x:v>Células com RIMAS</x:v>
      </x:c>
    </x:row>
    <x:row r="19">
      <x:c r="A19" t="n">
        <x:v>100</x:v>
      </x:c>
      <x:c r="B19" t="n">
        <x:v>3763</x:v>
      </x:c>
      <x:c r="C19" t="n">
        <x:v>774</x:v>
      </x:c>
      <x:c r="D19" s="28" t="n">
        <x:v>0</x:v>
      </x:c>
      <x:c r="E19" s="28" t="n">
        <x:v>0</x:v>
      </x:c>
      <x:c r="F19" s="28" t="n">
        <x:v>0</x:v>
      </x:c>
      <x:c r="G19" s="28" t="n">
        <x:v>20.140043943407463</x:v>
      </x:c>
      <x:c r="H19" t="n">
        <x:v>18</x:v>
      </x:c>
      <x:c r="I19" t="n">
        <x:v>22</x:v>
      </x:c>
    </x:row>
    <x:row r="20">
      <x:c r="A20" t="n">
        <x:v>150</x:v>
      </x:c>
      <x:c r="B20" t="n">
        <x:v>2525</x:v>
      </x:c>
      <x:c r="C20" t="n">
        <x:v>657</x:v>
      </x:c>
      <x:c r="D20" s="28" t="n">
        <x:v>0</x:v>
      </x:c>
      <x:c r="E20" s="28" t="n">
        <x:v>0</x:v>
      </x:c>
      <x:c r="F20" s="28" t="n">
        <x:v>16.666666666666664</x:v>
      </x:c>
      <x:c r="G20" s="28" t="n">
        <x:v>20.771131508518312</x:v>
      </x:c>
      <x:c r="H20" t="n">
        <x:v>18</x:v>
      </x:c>
      <x:c r="I20" t="n">
        <x:v>22</x:v>
      </x:c>
    </x:row>
    <x:row r="21">
      <x:c r="A21" t="n">
        <x:v>250</x:v>
      </x:c>
      <x:c r="B21" t="n">
        <x:v>1537</x:v>
      </x:c>
      <x:c r="C21" t="n">
        <x:v>523</x:v>
      </x:c>
      <x:c r="D21" s="28" t="n">
        <x:v>14.285714285714285</x:v>
      </x:c>
      <x:c r="E21" s="28" t="n">
        <x:v>0</x:v>
      </x:c>
      <x:c r="F21" s="28" t="n">
        <x:v>24</x:v>
      </x:c>
      <x:c r="G21" s="28" t="n">
        <x:v>21.222886164671415</x:v>
      </x:c>
      <x:c r="H21" t="n">
        <x:v>18</x:v>
      </x:c>
      <x:c r="I21" t="n">
        <x:v>22</x:v>
      </x:c>
    </x:row>
    <x:row r="22">
      <x:c r="A22" t="n">
        <x:v>500</x:v>
      </x:c>
      <x:c r="B22" t="n">
        <x:v>791</x:v>
      </x:c>
      <x:c r="C22" t="n">
        <x:v>354</x:v>
      </x:c>
      <x:c r="D22" s="28" t="n">
        <x:v>25</x:v>
      </x:c>
      <x:c r="E22" s="28" t="n">
        <x:v>0</x:v>
      </x:c>
      <x:c r="F22" s="28" t="n">
        <x:v>33.33333333333333</x:v>
      </x:c>
      <x:c r="G22" s="28" t="n">
        <x:v>20.78618999705675</x:v>
      </x:c>
      <x:c r="H22" t="n">
        <x:v>18</x:v>
      </x:c>
      <x:c r="I22" t="n">
        <x:v>22</x:v>
      </x:c>
    </x:row>
    <x:row r="23">
      <x:c r="A23" t="n">
        <x:v>1000</x:v>
      </x:c>
      <x:c r="B23" t="n">
        <x:v>413</x:v>
      </x:c>
      <x:c r="C23" t="n">
        <x:v>240</x:v>
      </x:c>
      <x:c r="D23" s="28" t="n">
        <x:v>30.0187617260788</x:v>
      </x:c>
      <x:c r="E23" s="28" t="n">
        <x:v>0</x:v>
      </x:c>
      <x:c r="F23" s="28" t="n">
        <x:v>37.32142857142857</x:v>
      </x:c>
      <x:c r="G23" s="28" t="n">
        <x:v>20.82246726489935</x:v>
      </x:c>
      <x:c r="H23" t="n">
        <x:v>18</x:v>
      </x:c>
      <x:c r="I23" t="n">
        <x:v>22</x:v>
      </x:c>
    </x:row>
  </x:sheetData>
  <x:conditionalFormatting sqref="C2:C14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{E5D2A047-4238-8741-E2B3-85669B88D1C8}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4226e298899449a6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5D2A047-4238-8741-E2B3-85669B88D1C8}">
            <x14:dataBar gradient="1">
              <x14:cfvo type="min"/>
              <x14:cfvo type="max"/>
              <x14:fillColor rgb="FFA02B93"/>
            </x14:dataBar>
          </x14:cfRule>
          <xm:sqref>C2:C14</xm:sqref>
        </x14:conditionalFormatting>
      </x14:conditionalFormattings>
    </x:ext>
  </x:extLst>
</x:worksheet>
</file>